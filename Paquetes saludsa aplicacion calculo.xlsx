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DIGITALES BIOFORCE ESMA\"/>
    </mc:Choice>
  </mc:AlternateContent>
  <xr:revisionPtr revIDLastSave="0" documentId="8_{F97A4175-03AD-4723-BCC0-6525BD2B4B7C}" xr6:coauthVersionLast="47" xr6:coauthVersionMax="47" xr10:uidLastSave="{00000000-0000-0000-0000-000000000000}"/>
  <bookViews>
    <workbookView xWindow="-120" yWindow="-120" windowWidth="29040" windowHeight="15720" xr2:uid="{CCDEDE4A-CCDF-439E-B37D-1559D835C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C6" i="1"/>
  <c r="H14" i="1" s="1"/>
  <c r="M5" i="1"/>
  <c r="F5" i="1"/>
  <c r="M4" i="1"/>
  <c r="F4" i="1"/>
  <c r="M3" i="1"/>
  <c r="F3" i="1"/>
  <c r="M2" i="1"/>
  <c r="N2" i="1" s="1"/>
  <c r="I2" i="1"/>
  <c r="F2" i="1"/>
  <c r="B2" i="1" l="1"/>
  <c r="G2" i="1"/>
  <c r="D11" i="1"/>
  <c r="D10" i="1"/>
  <c r="K11" i="1"/>
  <c r="K10" i="1"/>
  <c r="L12" i="1" l="1"/>
  <c r="H15" i="1"/>
  <c r="E12" i="1"/>
</calcChain>
</file>

<file path=xl/sharedStrings.xml><?xml version="1.0" encoding="utf-8"?>
<sst xmlns="http://schemas.openxmlformats.org/spreadsheetml/2006/main" count="34" uniqueCount="19">
  <si>
    <t>PAQUETE</t>
  </si>
  <si>
    <t>No. SESIONES</t>
  </si>
  <si>
    <t>TRATAMIENTO</t>
  </si>
  <si>
    <t>VALOR UNITARIO</t>
  </si>
  <si>
    <t>VALOR POR CANTIDAD DE SESIONES</t>
  </si>
  <si>
    <t>VALOR TOTAL PAQUETE</t>
  </si>
  <si>
    <t>ONDAS DE CHOQUE</t>
  </si>
  <si>
    <t>PLASMA RICO EN PLAQUETAS</t>
  </si>
  <si>
    <t>LÁSER DE ALTA INTENSIDAD</t>
  </si>
  <si>
    <t>TERAPIA FÍSICA</t>
  </si>
  <si>
    <t>PORCENTAJE</t>
  </si>
  <si>
    <t>VALOR</t>
  </si>
  <si>
    <t>PACIENTE</t>
  </si>
  <si>
    <t>COPAGO</t>
  </si>
  <si>
    <t>REEMBOLSO</t>
  </si>
  <si>
    <t>SALUDSA</t>
  </si>
  <si>
    <t>TOTAL</t>
  </si>
  <si>
    <t>N° Sesiones</t>
  </si>
  <si>
    <t>VALOR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</si>
</sst>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7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0"/>
      <name val="Times New Roman"/>
      <family val="1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3" fillId="5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9" fontId="3" fillId="0" borderId="0" xfId="0" applyNumberFormat="1" applyFont="1"/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8015-DBF7-4E62-A26B-4B3B75FDB497}">
  <dimension ref="B1:N15"/>
  <sheetViews>
    <sheetView tabSelected="1" workbookViewId="0">
      <selection activeCell="D14" sqref="D14"/>
    </sheetView>
  </sheetViews>
  <sheetFormatPr baseColWidth="10" defaultRowHeight="15" x14ac:dyDescent="0.25"/>
  <sheetData>
    <row r="1" spans="2:14" ht="2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2:14" ht="18" x14ac:dyDescent="0.25">
      <c r="B2" s="18">
        <f>C6</f>
        <v>12</v>
      </c>
      <c r="C2" s="3">
        <v>0</v>
      </c>
      <c r="D2" s="4" t="s">
        <v>6</v>
      </c>
      <c r="E2" s="3">
        <v>55</v>
      </c>
      <c r="F2" s="3">
        <f>(E2*C2)</f>
        <v>0</v>
      </c>
      <c r="G2" s="20">
        <f>SUM(F2:F5)</f>
        <v>204</v>
      </c>
      <c r="H2" s="2"/>
      <c r="I2" s="18">
        <f>J6</f>
        <v>8</v>
      </c>
      <c r="J2" s="3">
        <v>3</v>
      </c>
      <c r="K2" s="4" t="s">
        <v>6</v>
      </c>
      <c r="L2" s="3">
        <v>55</v>
      </c>
      <c r="M2" s="3">
        <f>(L2*J2)</f>
        <v>165</v>
      </c>
      <c r="N2" s="20">
        <f>SUM(M2:M5)</f>
        <v>290</v>
      </c>
    </row>
    <row r="3" spans="2:14" ht="18" x14ac:dyDescent="0.25">
      <c r="B3" s="19"/>
      <c r="C3" s="3">
        <v>0</v>
      </c>
      <c r="D3" s="4" t="s">
        <v>7</v>
      </c>
      <c r="E3" s="3">
        <v>35</v>
      </c>
      <c r="F3" s="3">
        <f>(E3*C3)</f>
        <v>0</v>
      </c>
      <c r="G3" s="21"/>
      <c r="H3" s="2"/>
      <c r="I3" s="19"/>
      <c r="J3" s="3">
        <v>0</v>
      </c>
      <c r="K3" s="4" t="s">
        <v>7</v>
      </c>
      <c r="L3" s="3">
        <v>35</v>
      </c>
      <c r="M3" s="3">
        <f>(L3*J3)</f>
        <v>0</v>
      </c>
      <c r="N3" s="21"/>
    </row>
    <row r="4" spans="2:14" ht="18" x14ac:dyDescent="0.25">
      <c r="B4" s="19"/>
      <c r="C4" s="3">
        <v>0</v>
      </c>
      <c r="D4" s="4" t="s">
        <v>8</v>
      </c>
      <c r="E4" s="3">
        <v>25</v>
      </c>
      <c r="F4" s="3">
        <f>(E4*C4)</f>
        <v>0</v>
      </c>
      <c r="G4" s="21"/>
      <c r="H4" s="2"/>
      <c r="I4" s="19"/>
      <c r="J4" s="3">
        <v>5</v>
      </c>
      <c r="K4" s="4" t="s">
        <v>8</v>
      </c>
      <c r="L4" s="3">
        <v>25</v>
      </c>
      <c r="M4" s="3">
        <f>(L4*J4)</f>
        <v>125</v>
      </c>
      <c r="N4" s="21"/>
    </row>
    <row r="5" spans="2:14" ht="18" x14ac:dyDescent="0.25">
      <c r="B5" s="19"/>
      <c r="C5" s="3">
        <v>12</v>
      </c>
      <c r="D5" s="4" t="s">
        <v>9</v>
      </c>
      <c r="E5" s="3">
        <v>17</v>
      </c>
      <c r="F5" s="3">
        <f>(E5*C5)</f>
        <v>204</v>
      </c>
      <c r="G5" s="22"/>
      <c r="H5" s="2"/>
      <c r="I5" s="19"/>
      <c r="J5" s="3">
        <v>0</v>
      </c>
      <c r="K5" s="4" t="s">
        <v>9</v>
      </c>
      <c r="L5" s="3">
        <v>17</v>
      </c>
      <c r="M5" s="3">
        <f>(L5*J5)</f>
        <v>0</v>
      </c>
      <c r="N5" s="22"/>
    </row>
    <row r="6" spans="2:14" x14ac:dyDescent="0.25">
      <c r="B6" s="19"/>
      <c r="C6" s="5">
        <f>SUM(C2:C5)</f>
        <v>12</v>
      </c>
      <c r="D6" s="6"/>
      <c r="E6" s="6"/>
      <c r="F6" s="6"/>
      <c r="G6" s="6"/>
      <c r="H6" s="2"/>
      <c r="I6" s="19"/>
      <c r="J6" s="5">
        <f>SUM(J2:J5)</f>
        <v>8</v>
      </c>
      <c r="K6" s="6"/>
      <c r="L6" s="6"/>
      <c r="M6" s="6"/>
      <c r="N6" s="6"/>
    </row>
    <row r="7" spans="2:14" x14ac:dyDescent="0.25">
      <c r="B7" s="7"/>
      <c r="C7" s="7"/>
      <c r="D7" s="7"/>
      <c r="E7" s="7"/>
      <c r="F7" s="7"/>
      <c r="G7" s="7"/>
      <c r="H7" s="2"/>
      <c r="I7" s="7"/>
      <c r="J7" s="7"/>
      <c r="K7" s="7"/>
      <c r="L7" s="7"/>
      <c r="M7" s="7"/>
      <c r="N7" s="7"/>
    </row>
    <row r="8" spans="2:14" x14ac:dyDescent="0.25">
      <c r="B8" s="7"/>
      <c r="C8" s="7"/>
      <c r="D8" s="7"/>
      <c r="E8" s="7"/>
      <c r="F8" s="7"/>
      <c r="G8" s="7"/>
      <c r="H8" s="2"/>
      <c r="I8" s="7"/>
      <c r="J8" s="7"/>
      <c r="K8" s="7"/>
      <c r="L8" s="7"/>
      <c r="M8" s="7"/>
      <c r="N8" s="7"/>
    </row>
    <row r="9" spans="2:14" x14ac:dyDescent="0.25">
      <c r="B9" s="7"/>
      <c r="C9" s="8" t="s">
        <v>10</v>
      </c>
      <c r="D9" s="9" t="s">
        <v>11</v>
      </c>
      <c r="E9" s="7"/>
      <c r="F9" s="7"/>
      <c r="G9" s="10"/>
      <c r="H9" s="2"/>
      <c r="I9" s="7"/>
      <c r="J9" s="8" t="s">
        <v>10</v>
      </c>
      <c r="K9" s="9" t="s">
        <v>11</v>
      </c>
      <c r="L9" s="7"/>
      <c r="M9" s="7"/>
      <c r="N9" s="10"/>
    </row>
    <row r="10" spans="2:14" x14ac:dyDescent="0.25">
      <c r="B10" s="11" t="s">
        <v>12</v>
      </c>
      <c r="C10" s="12">
        <v>30</v>
      </c>
      <c r="D10" s="12">
        <f>(G2*C10)/100</f>
        <v>61.2</v>
      </c>
      <c r="E10" s="6" t="s">
        <v>13</v>
      </c>
      <c r="F10" s="7"/>
      <c r="G10" s="7"/>
      <c r="H10" s="2"/>
      <c r="I10" s="11" t="s">
        <v>12</v>
      </c>
      <c r="J10" s="12">
        <v>100</v>
      </c>
      <c r="K10" s="12">
        <f>(N2*J10)/100</f>
        <v>290</v>
      </c>
      <c r="L10" s="6" t="s">
        <v>14</v>
      </c>
      <c r="M10" s="7"/>
      <c r="N10" s="7"/>
    </row>
    <row r="11" spans="2:14" x14ac:dyDescent="0.25">
      <c r="B11" s="11" t="s">
        <v>15</v>
      </c>
      <c r="C11" s="12">
        <v>70</v>
      </c>
      <c r="D11" s="12">
        <f>(G2*C11)/100</f>
        <v>142.80000000000001</v>
      </c>
      <c r="E11" s="7"/>
      <c r="F11" s="7"/>
      <c r="G11" s="7"/>
      <c r="H11" s="2"/>
      <c r="I11" s="11" t="s">
        <v>15</v>
      </c>
      <c r="J11" s="12">
        <v>0</v>
      </c>
      <c r="K11" s="12">
        <f>(N2*J11)/100</f>
        <v>0</v>
      </c>
      <c r="L11" s="7"/>
      <c r="M11" s="7"/>
      <c r="N11" s="7"/>
    </row>
    <row r="12" spans="2:14" x14ac:dyDescent="0.25">
      <c r="B12" s="7"/>
      <c r="C12" s="7"/>
      <c r="D12" s="13" t="s">
        <v>16</v>
      </c>
      <c r="E12" s="12">
        <f>(D10+D11)</f>
        <v>204</v>
      </c>
      <c r="F12" s="7"/>
      <c r="G12" s="7"/>
      <c r="H12" s="2"/>
      <c r="I12" s="7"/>
      <c r="J12" s="7"/>
      <c r="K12" s="13" t="s">
        <v>16</v>
      </c>
      <c r="L12" s="12">
        <f>(K10+K11)</f>
        <v>290</v>
      </c>
      <c r="M12" s="7"/>
      <c r="N12" s="7"/>
    </row>
    <row r="13" spans="2:14" ht="15.75" thickBot="1" x14ac:dyDescent="0.3"/>
    <row r="14" spans="2:14" ht="15.75" thickBot="1" x14ac:dyDescent="0.3">
      <c r="G14" s="14" t="s">
        <v>17</v>
      </c>
      <c r="H14" s="15">
        <f>SUM(C6+J6)</f>
        <v>20</v>
      </c>
    </row>
    <row r="15" spans="2:14" ht="15.75" thickBot="1" x14ac:dyDescent="0.3">
      <c r="G15" s="16" t="s">
        <v>18</v>
      </c>
      <c r="H15" s="17">
        <f>SUM(D10+K10)</f>
        <v>351.2</v>
      </c>
    </row>
  </sheetData>
  <mergeCells count="4">
    <mergeCell ref="B2:B6"/>
    <mergeCell ref="G2:G5"/>
    <mergeCell ref="I2:I6"/>
    <mergeCell ref="N2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 2</dc:creator>
  <cp:lastModifiedBy>edwin ayala</cp:lastModifiedBy>
  <dcterms:created xsi:type="dcterms:W3CDTF">2026-01-22T14:56:09Z</dcterms:created>
  <dcterms:modified xsi:type="dcterms:W3CDTF">2026-08-30T14:24:48Z</dcterms:modified>
</cp:coreProperties>
</file>